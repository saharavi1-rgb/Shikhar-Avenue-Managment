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Ravi\Desktop\"/>
    </mc:Choice>
  </mc:AlternateContent>
  <xr:revisionPtr revIDLastSave="0" documentId="13_ncr:1_{71142BC8-B9CC-45FA-AFA6-637BE684D3BF}" xr6:coauthVersionLast="45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tracted Data" sheetId="1" r:id="rId1"/>
  </sheets>
  <definedNames>
    <definedName name="_xlnm._FilterDatabase" localSheetId="0" hidden="1">'Extracted Data'!$A$2:$N$26</definedName>
  </definedNames>
  <calcPr calcId="191028"/>
</workbook>
</file>

<file path=xl/calcChain.xml><?xml version="1.0" encoding="utf-8"?>
<calcChain xmlns="http://schemas.openxmlformats.org/spreadsheetml/2006/main">
  <c r="N32" i="1" l="1"/>
  <c r="N39" i="1" s="1"/>
  <c r="I31" i="1"/>
  <c r="E37" i="1"/>
  <c r="L22" i="1"/>
  <c r="N22" i="1" s="1"/>
  <c r="H10" i="1"/>
  <c r="J10" i="1" s="1"/>
  <c r="L10" i="1" s="1"/>
  <c r="N10" i="1" s="1"/>
  <c r="H22" i="1"/>
  <c r="F4" i="1"/>
  <c r="H4" i="1" s="1"/>
  <c r="J4" i="1" s="1"/>
  <c r="L4" i="1" s="1"/>
  <c r="N4" i="1" s="1"/>
  <c r="F5" i="1"/>
  <c r="H5" i="1" s="1"/>
  <c r="J5" i="1" s="1"/>
  <c r="L5" i="1" s="1"/>
  <c r="N5" i="1" s="1"/>
  <c r="F6" i="1"/>
  <c r="H6" i="1" s="1"/>
  <c r="J6" i="1" s="1"/>
  <c r="L6" i="1" s="1"/>
  <c r="N6" i="1" s="1"/>
  <c r="F7" i="1"/>
  <c r="H7" i="1" s="1"/>
  <c r="J7" i="1" s="1"/>
  <c r="L7" i="1" s="1"/>
  <c r="N7" i="1" s="1"/>
  <c r="F8" i="1"/>
  <c r="H8" i="1" s="1"/>
  <c r="J8" i="1" s="1"/>
  <c r="L8" i="1" s="1"/>
  <c r="N8" i="1" s="1"/>
  <c r="F9" i="1"/>
  <c r="H9" i="1" s="1"/>
  <c r="J9" i="1" s="1"/>
  <c r="L9" i="1" s="1"/>
  <c r="N9" i="1" s="1"/>
  <c r="F11" i="1"/>
  <c r="H11" i="1" s="1"/>
  <c r="J11" i="1" s="1"/>
  <c r="L11" i="1" s="1"/>
  <c r="N11" i="1" s="1"/>
  <c r="F12" i="1"/>
  <c r="H12" i="1" s="1"/>
  <c r="J12" i="1" s="1"/>
  <c r="L12" i="1" s="1"/>
  <c r="N12" i="1" s="1"/>
  <c r="F13" i="1"/>
  <c r="H13" i="1" s="1"/>
  <c r="J13" i="1" s="1"/>
  <c r="L13" i="1" s="1"/>
  <c r="N13" i="1" s="1"/>
  <c r="F14" i="1"/>
  <c r="H14" i="1" s="1"/>
  <c r="J14" i="1" s="1"/>
  <c r="L14" i="1" s="1"/>
  <c r="N14" i="1" s="1"/>
  <c r="F15" i="1"/>
  <c r="H15" i="1" s="1"/>
  <c r="J15" i="1" s="1"/>
  <c r="L15" i="1" s="1"/>
  <c r="N15" i="1" s="1"/>
  <c r="F16" i="1"/>
  <c r="H16" i="1" s="1"/>
  <c r="J16" i="1" s="1"/>
  <c r="L16" i="1" s="1"/>
  <c r="N16" i="1" s="1"/>
  <c r="F17" i="1"/>
  <c r="H17" i="1" s="1"/>
  <c r="J17" i="1" s="1"/>
  <c r="L17" i="1" s="1"/>
  <c r="N17" i="1" s="1"/>
  <c r="F18" i="1"/>
  <c r="H18" i="1" s="1"/>
  <c r="J18" i="1" s="1"/>
  <c r="L18" i="1" s="1"/>
  <c r="N18" i="1" s="1"/>
  <c r="F19" i="1"/>
  <c r="H19" i="1" s="1"/>
  <c r="J19" i="1" s="1"/>
  <c r="L19" i="1" s="1"/>
  <c r="N19" i="1" s="1"/>
  <c r="F20" i="1"/>
  <c r="H20" i="1" s="1"/>
  <c r="J20" i="1" s="1"/>
  <c r="L20" i="1" s="1"/>
  <c r="N20" i="1" s="1"/>
  <c r="F21" i="1"/>
  <c r="H21" i="1" s="1"/>
  <c r="J21" i="1" s="1"/>
  <c r="L21" i="1" s="1"/>
  <c r="F23" i="1"/>
  <c r="H23" i="1" s="1"/>
  <c r="J23" i="1" s="1"/>
  <c r="L23" i="1" s="1"/>
  <c r="N23" i="1" s="1"/>
  <c r="F24" i="1"/>
  <c r="H24" i="1" s="1"/>
  <c r="J24" i="1" s="1"/>
  <c r="L24" i="1" s="1"/>
  <c r="N24" i="1" s="1"/>
  <c r="F25" i="1"/>
  <c r="H25" i="1" s="1"/>
  <c r="J25" i="1" s="1"/>
  <c r="L25" i="1" s="1"/>
  <c r="N25" i="1" s="1"/>
  <c r="F3" i="1"/>
  <c r="H3" i="1" s="1"/>
  <c r="J3" i="1" s="1"/>
  <c r="M26" i="1"/>
  <c r="K26" i="1"/>
  <c r="I26" i="1"/>
  <c r="I34" i="1" s="1"/>
  <c r="I39" i="1" s="1"/>
  <c r="L3" i="1" l="1"/>
  <c r="N3" i="1" s="1"/>
  <c r="N26" i="1" s="1"/>
  <c r="J26" i="1"/>
  <c r="L26" i="1"/>
  <c r="E31" i="1"/>
  <c r="E39" i="1" s="1"/>
  <c r="E41" i="1" s="1"/>
  <c r="I40" i="1" s="1"/>
  <c r="I41" i="1" s="1"/>
  <c r="N40" i="1" s="1"/>
  <c r="N41" i="1" s="1"/>
  <c r="H26" i="1"/>
  <c r="G26" i="1"/>
  <c r="F26" i="1"/>
  <c r="E26" i="1"/>
  <c r="D26" i="1"/>
  <c r="C26" i="1"/>
  <c r="B26" i="1"/>
</calcChain>
</file>

<file path=xl/sharedStrings.xml><?xml version="1.0" encoding="utf-8"?>
<sst xmlns="http://schemas.openxmlformats.org/spreadsheetml/2006/main" count="55" uniqueCount="43">
  <si>
    <t>Room No</t>
  </si>
  <si>
    <t>June</t>
  </si>
  <si>
    <t>July</t>
  </si>
  <si>
    <t>पानी</t>
  </si>
  <si>
    <t>Bad dues</t>
  </si>
  <si>
    <t>electricity bill</t>
  </si>
  <si>
    <t>201-202</t>
  </si>
  <si>
    <t>received  cash</t>
  </si>
  <si>
    <t>received  online</t>
  </si>
  <si>
    <t>Dues May tak</t>
  </si>
  <si>
    <t>Due by July</t>
  </si>
  <si>
    <t>paid in July</t>
  </si>
  <si>
    <t>Aug</t>
  </si>
  <si>
    <t>Paid in Aug</t>
  </si>
  <si>
    <t>Total Due</t>
  </si>
  <si>
    <t>Due for June</t>
  </si>
  <si>
    <t>Due for July</t>
  </si>
  <si>
    <t>Paid in June</t>
  </si>
  <si>
    <t>Due by Aug</t>
  </si>
  <si>
    <t>vikash</t>
  </si>
  <si>
    <t>received cash</t>
  </si>
  <si>
    <t>tiwari</t>
  </si>
  <si>
    <t>cleaning tools</t>
  </si>
  <si>
    <t>first day cleaning</t>
  </si>
  <si>
    <t>RC &amp; DC</t>
  </si>
  <si>
    <t>received Online</t>
  </si>
  <si>
    <t>balance</t>
  </si>
  <si>
    <t>unfair recovery by renters</t>
  </si>
  <si>
    <t>Total Month close</t>
  </si>
  <si>
    <t>Balance</t>
  </si>
  <si>
    <t>Loss recovery</t>
  </si>
  <si>
    <t>Total Month Close</t>
  </si>
  <si>
    <t>Chamber Cleaning</t>
  </si>
  <si>
    <t>HKB Payment</t>
  </si>
  <si>
    <t>Elec. Bill</t>
  </si>
  <si>
    <t>Balance Carry Forward</t>
  </si>
  <si>
    <t>Total MTD</t>
  </si>
  <si>
    <t>June'2026</t>
  </si>
  <si>
    <t>Expance</t>
  </si>
  <si>
    <t>Recovery</t>
  </si>
  <si>
    <t>Month Closing</t>
  </si>
  <si>
    <t>July'2026</t>
  </si>
  <si>
    <t>Aug'2026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</si>
</sst>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4" fillId="0" borderId="1" xfId="0" applyFont="1" applyBorder="1"/>
    <xf numFmtId="0" fontId="3" fillId="0" borderId="1" xfId="0" applyFont="1" applyBorder="1"/>
    <xf numFmtId="0" fontId="0" fillId="0" borderId="1" xfId="0" applyBorder="1"/>
    <xf numFmtId="0" fontId="0" fillId="2" borderId="1" xfId="0" applyFill="1" applyBorder="1"/>
    <xf numFmtId="0" fontId="2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41"/>
  <sheetViews>
    <sheetView tabSelected="1" topLeftCell="A11" workbookViewId="0">
      <selection activeCell="M11" sqref="M11"/>
    </sheetView>
  </sheetViews>
  <sheetFormatPr defaultRowHeight="14.4" x14ac:dyDescent="0.3"/>
  <cols>
    <col min="2" max="2" width="8.77734375" bestFit="1" customWidth="1"/>
    <col min="3" max="3" width="13.88671875" bestFit="1" customWidth="1"/>
    <col min="4" max="4" width="6.21875" bestFit="1" customWidth="1"/>
    <col min="5" max="5" width="11" bestFit="1" customWidth="1"/>
    <col min="6" max="6" width="11.5546875" bestFit="1" customWidth="1"/>
    <col min="7" max="7" width="12.6640625" bestFit="1" customWidth="1"/>
    <col min="8" max="8" width="16.109375" bestFit="1" customWidth="1"/>
    <col min="9" max="9" width="10.33203125" bestFit="1" customWidth="1"/>
    <col min="10" max="10" width="10.88671875" bestFit="1" customWidth="1"/>
    <col min="12" max="12" width="11" bestFit="1" customWidth="1"/>
    <col min="13" max="13" width="10.44140625" bestFit="1" customWidth="1"/>
  </cols>
  <sheetData>
    <row r="2" spans="1:14" x14ac:dyDescent="0.3">
      <c r="A2" s="1" t="s">
        <v>0</v>
      </c>
      <c r="B2" s="1" t="s">
        <v>4</v>
      </c>
      <c r="C2" s="1" t="s">
        <v>9</v>
      </c>
      <c r="D2" s="1" t="s">
        <v>1</v>
      </c>
      <c r="E2" s="2" t="s">
        <v>17</v>
      </c>
      <c r="F2" s="2" t="s">
        <v>15</v>
      </c>
      <c r="G2" s="1" t="s">
        <v>2</v>
      </c>
      <c r="H2" s="1" t="s">
        <v>10</v>
      </c>
      <c r="I2" s="3" t="s">
        <v>11</v>
      </c>
      <c r="J2" s="3" t="s">
        <v>16</v>
      </c>
      <c r="K2" s="2" t="s">
        <v>12</v>
      </c>
      <c r="L2" s="2" t="s">
        <v>18</v>
      </c>
      <c r="M2" s="2" t="s">
        <v>13</v>
      </c>
      <c r="N2" s="2" t="s">
        <v>14</v>
      </c>
    </row>
    <row r="3" spans="1:14" x14ac:dyDescent="0.3">
      <c r="A3" s="4">
        <v>101</v>
      </c>
      <c r="B3" s="4">
        <v>1500</v>
      </c>
      <c r="C3" s="4">
        <v>500</v>
      </c>
      <c r="D3" s="4">
        <v>500</v>
      </c>
      <c r="E3" s="4">
        <v>1000</v>
      </c>
      <c r="F3" s="4">
        <f>(C3+D3)-E3</f>
        <v>0</v>
      </c>
      <c r="G3" s="4">
        <v>500</v>
      </c>
      <c r="H3" s="4">
        <f>+F3+G3</f>
        <v>500</v>
      </c>
      <c r="I3" s="4">
        <v>0</v>
      </c>
      <c r="J3" s="4">
        <f>+H3-I3</f>
        <v>500</v>
      </c>
      <c r="K3" s="4">
        <v>500</v>
      </c>
      <c r="L3" s="4">
        <f>+J3+K3</f>
        <v>1000</v>
      </c>
      <c r="M3" s="4">
        <v>1000</v>
      </c>
      <c r="N3" s="4">
        <f>L3-M3</f>
        <v>0</v>
      </c>
    </row>
    <row r="4" spans="1:14" x14ac:dyDescent="0.3">
      <c r="A4" s="4">
        <v>102</v>
      </c>
      <c r="B4" s="4">
        <v>1500</v>
      </c>
      <c r="C4" s="4"/>
      <c r="D4" s="4">
        <v>500</v>
      </c>
      <c r="E4" s="4">
        <v>500</v>
      </c>
      <c r="F4" s="4">
        <f t="shared" ref="F4:F25" si="0">(C4+D4)-E4</f>
        <v>0</v>
      </c>
      <c r="G4" s="4">
        <v>500</v>
      </c>
      <c r="H4" s="4">
        <f t="shared" ref="H4:H25" si="1">+F4+G4</f>
        <v>500</v>
      </c>
      <c r="I4" s="4">
        <v>500</v>
      </c>
      <c r="J4" s="4">
        <f t="shared" ref="J4:J25" si="2">+H4-I4</f>
        <v>0</v>
      </c>
      <c r="K4" s="4">
        <v>500</v>
      </c>
      <c r="L4" s="4">
        <f t="shared" ref="L4:L25" si="3">+J4+K4</f>
        <v>500</v>
      </c>
      <c r="M4" s="4">
        <v>500</v>
      </c>
      <c r="N4" s="4">
        <f t="shared" ref="N4:N25" si="4">L4-M4</f>
        <v>0</v>
      </c>
    </row>
    <row r="5" spans="1:14" x14ac:dyDescent="0.3">
      <c r="A5" s="4">
        <v>103</v>
      </c>
      <c r="B5" s="4">
        <v>1500</v>
      </c>
      <c r="C5" s="4">
        <v>3000</v>
      </c>
      <c r="D5" s="4">
        <v>500</v>
      </c>
      <c r="E5" s="4"/>
      <c r="F5" s="4">
        <f t="shared" si="0"/>
        <v>3500</v>
      </c>
      <c r="G5" s="4">
        <v>500</v>
      </c>
      <c r="H5" s="4">
        <f t="shared" si="1"/>
        <v>4000</v>
      </c>
      <c r="I5" s="4">
        <v>3000</v>
      </c>
      <c r="J5" s="4">
        <f t="shared" si="2"/>
        <v>1000</v>
      </c>
      <c r="K5" s="4">
        <v>500</v>
      </c>
      <c r="L5" s="4">
        <f t="shared" si="3"/>
        <v>1500</v>
      </c>
      <c r="M5" s="4">
        <v>0</v>
      </c>
      <c r="N5" s="4">
        <f t="shared" si="4"/>
        <v>1500</v>
      </c>
    </row>
    <row r="6" spans="1:14" x14ac:dyDescent="0.3">
      <c r="A6" s="4">
        <v>104</v>
      </c>
      <c r="B6" s="4">
        <v>1500</v>
      </c>
      <c r="C6" s="4">
        <v>1000</v>
      </c>
      <c r="D6" s="4">
        <v>500</v>
      </c>
      <c r="E6" s="4"/>
      <c r="F6" s="4">
        <f t="shared" si="0"/>
        <v>1500</v>
      </c>
      <c r="G6" s="4">
        <v>500</v>
      </c>
      <c r="H6" s="4">
        <f t="shared" si="1"/>
        <v>2000</v>
      </c>
      <c r="I6" s="4">
        <v>0</v>
      </c>
      <c r="J6" s="4">
        <f t="shared" si="2"/>
        <v>2000</v>
      </c>
      <c r="K6" s="4">
        <v>500</v>
      </c>
      <c r="L6" s="4">
        <f t="shared" si="3"/>
        <v>2500</v>
      </c>
      <c r="M6" s="4">
        <v>0</v>
      </c>
      <c r="N6" s="4">
        <f t="shared" si="4"/>
        <v>2500</v>
      </c>
    </row>
    <row r="7" spans="1:14" x14ac:dyDescent="0.3">
      <c r="A7" s="4">
        <v>105</v>
      </c>
      <c r="B7" s="4">
        <v>1500</v>
      </c>
      <c r="C7" s="4">
        <v>1500</v>
      </c>
      <c r="D7" s="4">
        <v>500</v>
      </c>
      <c r="E7" s="4">
        <v>1000</v>
      </c>
      <c r="F7" s="4">
        <f t="shared" si="0"/>
        <v>1000</v>
      </c>
      <c r="G7" s="4">
        <v>500</v>
      </c>
      <c r="H7" s="4">
        <f t="shared" si="1"/>
        <v>1500</v>
      </c>
      <c r="I7" s="4">
        <v>500</v>
      </c>
      <c r="J7" s="4">
        <f t="shared" si="2"/>
        <v>1000</v>
      </c>
      <c r="K7" s="4">
        <v>500</v>
      </c>
      <c r="L7" s="4">
        <f t="shared" si="3"/>
        <v>1500</v>
      </c>
      <c r="M7" s="4">
        <v>500</v>
      </c>
      <c r="N7" s="4">
        <f t="shared" si="4"/>
        <v>1000</v>
      </c>
    </row>
    <row r="8" spans="1:14" x14ac:dyDescent="0.3">
      <c r="A8" s="4">
        <v>106</v>
      </c>
      <c r="B8" s="4">
        <v>1500</v>
      </c>
      <c r="C8" s="4"/>
      <c r="D8" s="4">
        <v>500</v>
      </c>
      <c r="E8" s="4"/>
      <c r="F8" s="4">
        <f t="shared" si="0"/>
        <v>500</v>
      </c>
      <c r="G8" s="4">
        <v>500</v>
      </c>
      <c r="H8" s="4">
        <f t="shared" si="1"/>
        <v>1000</v>
      </c>
      <c r="I8" s="4">
        <v>0</v>
      </c>
      <c r="J8" s="4">
        <f t="shared" si="2"/>
        <v>1000</v>
      </c>
      <c r="K8" s="4">
        <v>500</v>
      </c>
      <c r="L8" s="4">
        <f t="shared" si="3"/>
        <v>1500</v>
      </c>
      <c r="M8" s="4">
        <v>0</v>
      </c>
      <c r="N8" s="4">
        <f t="shared" si="4"/>
        <v>1500</v>
      </c>
    </row>
    <row r="9" spans="1:14" x14ac:dyDescent="0.3">
      <c r="A9" s="4" t="s">
        <v>6</v>
      </c>
      <c r="B9" s="4">
        <v>1500</v>
      </c>
      <c r="C9" s="4">
        <v>500</v>
      </c>
      <c r="D9" s="4">
        <v>500</v>
      </c>
      <c r="E9" s="4">
        <v>1000</v>
      </c>
      <c r="F9" s="4">
        <f t="shared" si="0"/>
        <v>0</v>
      </c>
      <c r="G9" s="4">
        <v>500</v>
      </c>
      <c r="H9" s="4">
        <f t="shared" si="1"/>
        <v>500</v>
      </c>
      <c r="I9" s="4">
        <v>500</v>
      </c>
      <c r="J9" s="4">
        <f t="shared" si="2"/>
        <v>0</v>
      </c>
      <c r="K9" s="4">
        <v>500</v>
      </c>
      <c r="L9" s="4">
        <f t="shared" si="3"/>
        <v>500</v>
      </c>
      <c r="M9" s="4">
        <v>500</v>
      </c>
      <c r="N9" s="4">
        <f t="shared" si="4"/>
        <v>0</v>
      </c>
    </row>
    <row r="10" spans="1:14" x14ac:dyDescent="0.3">
      <c r="A10" s="4">
        <v>203</v>
      </c>
      <c r="B10" s="4">
        <v>1500</v>
      </c>
      <c r="C10" s="4" t="s">
        <v>3</v>
      </c>
      <c r="D10" s="4">
        <v>500</v>
      </c>
      <c r="E10" s="4"/>
      <c r="F10" s="5">
        <v>500</v>
      </c>
      <c r="G10" s="4">
        <v>500</v>
      </c>
      <c r="H10" s="4">
        <f t="shared" si="1"/>
        <v>1000</v>
      </c>
      <c r="I10" s="4">
        <v>0</v>
      </c>
      <c r="J10" s="4">
        <f t="shared" si="2"/>
        <v>1000</v>
      </c>
      <c r="K10" s="4">
        <v>500</v>
      </c>
      <c r="L10" s="4">
        <f t="shared" si="3"/>
        <v>1500</v>
      </c>
      <c r="M10" s="4">
        <v>500</v>
      </c>
      <c r="N10" s="4">
        <f t="shared" si="4"/>
        <v>1000</v>
      </c>
    </row>
    <row r="11" spans="1:14" x14ac:dyDescent="0.3">
      <c r="A11" s="4">
        <v>204</v>
      </c>
      <c r="B11" s="4">
        <v>1500</v>
      </c>
      <c r="C11" s="4">
        <v>2000</v>
      </c>
      <c r="D11" s="4">
        <v>500</v>
      </c>
      <c r="E11" s="4"/>
      <c r="F11" s="4">
        <f t="shared" si="0"/>
        <v>2500</v>
      </c>
      <c r="G11" s="4">
        <v>500</v>
      </c>
      <c r="H11" s="4">
        <f t="shared" si="1"/>
        <v>3000</v>
      </c>
      <c r="I11" s="4">
        <v>0</v>
      </c>
      <c r="J11" s="4">
        <f t="shared" si="2"/>
        <v>3000</v>
      </c>
      <c r="K11" s="4">
        <v>500</v>
      </c>
      <c r="L11" s="4">
        <f t="shared" si="3"/>
        <v>3500</v>
      </c>
      <c r="M11" s="4">
        <v>0</v>
      </c>
      <c r="N11" s="4">
        <f t="shared" si="4"/>
        <v>3500</v>
      </c>
    </row>
    <row r="12" spans="1:14" x14ac:dyDescent="0.3">
      <c r="A12" s="4">
        <v>205</v>
      </c>
      <c r="B12" s="6">
        <v>1500</v>
      </c>
      <c r="C12" s="4">
        <v>3000</v>
      </c>
      <c r="D12" s="4">
        <v>500</v>
      </c>
      <c r="E12" s="4">
        <v>3500</v>
      </c>
      <c r="F12" s="4">
        <f t="shared" si="0"/>
        <v>0</v>
      </c>
      <c r="G12" s="4">
        <v>500</v>
      </c>
      <c r="H12" s="4">
        <f t="shared" si="1"/>
        <v>500</v>
      </c>
      <c r="I12" s="4">
        <v>500</v>
      </c>
      <c r="J12" s="4">
        <f t="shared" si="2"/>
        <v>0</v>
      </c>
      <c r="K12" s="4">
        <v>500</v>
      </c>
      <c r="L12" s="4">
        <f t="shared" si="3"/>
        <v>500</v>
      </c>
      <c r="M12" s="4">
        <v>500</v>
      </c>
      <c r="N12" s="4">
        <f t="shared" si="4"/>
        <v>0</v>
      </c>
    </row>
    <row r="13" spans="1:14" x14ac:dyDescent="0.3">
      <c r="A13" s="4">
        <v>206</v>
      </c>
      <c r="B13" s="6">
        <v>1500</v>
      </c>
      <c r="C13" s="4">
        <v>1000</v>
      </c>
      <c r="D13" s="4">
        <v>500</v>
      </c>
      <c r="E13" s="4">
        <v>1500</v>
      </c>
      <c r="F13" s="4">
        <f t="shared" si="0"/>
        <v>0</v>
      </c>
      <c r="G13" s="4">
        <v>500</v>
      </c>
      <c r="H13" s="4">
        <f t="shared" si="1"/>
        <v>500</v>
      </c>
      <c r="I13" s="4">
        <v>500</v>
      </c>
      <c r="J13" s="4">
        <f t="shared" si="2"/>
        <v>0</v>
      </c>
      <c r="K13" s="4">
        <v>500</v>
      </c>
      <c r="L13" s="4">
        <f t="shared" si="3"/>
        <v>500</v>
      </c>
      <c r="M13" s="4">
        <v>500</v>
      </c>
      <c r="N13" s="4">
        <f t="shared" si="4"/>
        <v>0</v>
      </c>
    </row>
    <row r="14" spans="1:14" x14ac:dyDescent="0.3">
      <c r="A14" s="4">
        <v>301</v>
      </c>
      <c r="B14" s="4">
        <v>1500</v>
      </c>
      <c r="C14" s="4">
        <v>500</v>
      </c>
      <c r="D14" s="4">
        <v>500</v>
      </c>
      <c r="E14" s="4">
        <v>1000</v>
      </c>
      <c r="F14" s="4">
        <f t="shared" si="0"/>
        <v>0</v>
      </c>
      <c r="G14" s="4">
        <v>500</v>
      </c>
      <c r="H14" s="4">
        <f t="shared" si="1"/>
        <v>500</v>
      </c>
      <c r="I14" s="4">
        <v>500</v>
      </c>
      <c r="J14" s="4">
        <f t="shared" si="2"/>
        <v>0</v>
      </c>
      <c r="K14" s="4">
        <v>500</v>
      </c>
      <c r="L14" s="4">
        <f t="shared" si="3"/>
        <v>500</v>
      </c>
      <c r="M14" s="4">
        <v>0</v>
      </c>
      <c r="N14" s="4">
        <f t="shared" si="4"/>
        <v>500</v>
      </c>
    </row>
    <row r="15" spans="1:14" x14ac:dyDescent="0.3">
      <c r="A15" s="4">
        <v>302</v>
      </c>
      <c r="B15" s="4">
        <v>1500</v>
      </c>
      <c r="C15" s="4">
        <v>2500</v>
      </c>
      <c r="D15" s="4">
        <v>500</v>
      </c>
      <c r="E15" s="4"/>
      <c r="F15" s="4">
        <f t="shared" si="0"/>
        <v>3000</v>
      </c>
      <c r="G15" s="4">
        <v>500</v>
      </c>
      <c r="H15" s="4">
        <f t="shared" si="1"/>
        <v>3500</v>
      </c>
      <c r="I15" s="4">
        <v>0</v>
      </c>
      <c r="J15" s="4">
        <f t="shared" si="2"/>
        <v>3500</v>
      </c>
      <c r="K15" s="4">
        <v>500</v>
      </c>
      <c r="L15" s="4">
        <f t="shared" si="3"/>
        <v>4000</v>
      </c>
      <c r="M15" s="4">
        <v>2000</v>
      </c>
      <c r="N15" s="4">
        <f t="shared" si="4"/>
        <v>2000</v>
      </c>
    </row>
    <row r="16" spans="1:14" x14ac:dyDescent="0.3">
      <c r="A16" s="4">
        <v>303</v>
      </c>
      <c r="B16" s="4">
        <v>1500</v>
      </c>
      <c r="C16" s="4">
        <v>3000</v>
      </c>
      <c r="D16" s="4">
        <v>500</v>
      </c>
      <c r="E16" s="4">
        <v>2000</v>
      </c>
      <c r="F16" s="4">
        <f t="shared" si="0"/>
        <v>1500</v>
      </c>
      <c r="G16" s="4">
        <v>500</v>
      </c>
      <c r="H16" s="4">
        <f t="shared" si="1"/>
        <v>2000</v>
      </c>
      <c r="I16" s="4">
        <v>0</v>
      </c>
      <c r="J16" s="4">
        <f t="shared" si="2"/>
        <v>2000</v>
      </c>
      <c r="K16" s="4">
        <v>500</v>
      </c>
      <c r="L16" s="4">
        <f t="shared" si="3"/>
        <v>2500</v>
      </c>
      <c r="M16" s="4">
        <v>1500</v>
      </c>
      <c r="N16" s="4">
        <f t="shared" si="4"/>
        <v>1000</v>
      </c>
    </row>
    <row r="17" spans="1:14" x14ac:dyDescent="0.3">
      <c r="A17" s="4">
        <v>304</v>
      </c>
      <c r="B17" s="4">
        <v>1500</v>
      </c>
      <c r="C17" s="4">
        <v>500</v>
      </c>
      <c r="D17" s="4">
        <v>500</v>
      </c>
      <c r="E17" s="4">
        <v>1000</v>
      </c>
      <c r="F17" s="4">
        <f t="shared" si="0"/>
        <v>0</v>
      </c>
      <c r="G17" s="4">
        <v>500</v>
      </c>
      <c r="H17" s="4">
        <f t="shared" si="1"/>
        <v>500</v>
      </c>
      <c r="I17" s="4">
        <v>500</v>
      </c>
      <c r="J17" s="4">
        <f t="shared" si="2"/>
        <v>0</v>
      </c>
      <c r="K17" s="4">
        <v>500</v>
      </c>
      <c r="L17" s="4">
        <f t="shared" si="3"/>
        <v>500</v>
      </c>
      <c r="M17" s="4">
        <v>0</v>
      </c>
      <c r="N17" s="4">
        <f t="shared" si="4"/>
        <v>500</v>
      </c>
    </row>
    <row r="18" spans="1:14" x14ac:dyDescent="0.3">
      <c r="A18" s="4">
        <v>305</v>
      </c>
      <c r="B18" s="4">
        <v>1500</v>
      </c>
      <c r="C18" s="4"/>
      <c r="D18" s="4">
        <v>500</v>
      </c>
      <c r="E18" s="4">
        <v>500</v>
      </c>
      <c r="F18" s="4">
        <f t="shared" si="0"/>
        <v>0</v>
      </c>
      <c r="G18" s="4">
        <v>500</v>
      </c>
      <c r="H18" s="4">
        <f t="shared" si="1"/>
        <v>500</v>
      </c>
      <c r="I18" s="4">
        <v>500</v>
      </c>
      <c r="J18" s="4">
        <f t="shared" si="2"/>
        <v>0</v>
      </c>
      <c r="K18" s="4">
        <v>500</v>
      </c>
      <c r="L18" s="4">
        <f t="shared" si="3"/>
        <v>500</v>
      </c>
      <c r="M18" s="4">
        <v>0</v>
      </c>
      <c r="N18" s="4">
        <f t="shared" si="4"/>
        <v>500</v>
      </c>
    </row>
    <row r="19" spans="1:14" x14ac:dyDescent="0.3">
      <c r="A19" s="4">
        <v>306</v>
      </c>
      <c r="B19" s="4">
        <v>1500</v>
      </c>
      <c r="C19" s="4">
        <v>1500</v>
      </c>
      <c r="D19" s="4">
        <v>500</v>
      </c>
      <c r="E19" s="4">
        <v>1500</v>
      </c>
      <c r="F19" s="4">
        <f t="shared" si="0"/>
        <v>500</v>
      </c>
      <c r="G19" s="4">
        <v>500</v>
      </c>
      <c r="H19" s="4">
        <f t="shared" si="1"/>
        <v>1000</v>
      </c>
      <c r="I19" s="4">
        <v>0</v>
      </c>
      <c r="J19" s="4">
        <f t="shared" si="2"/>
        <v>1000</v>
      </c>
      <c r="K19" s="4">
        <v>500</v>
      </c>
      <c r="L19" s="4">
        <f t="shared" si="3"/>
        <v>1500</v>
      </c>
      <c r="M19" s="4">
        <v>0</v>
      </c>
      <c r="N19" s="4">
        <f t="shared" si="4"/>
        <v>1500</v>
      </c>
    </row>
    <row r="20" spans="1:14" x14ac:dyDescent="0.3">
      <c r="A20" s="4">
        <v>401</v>
      </c>
      <c r="B20" s="4">
        <v>1500</v>
      </c>
      <c r="C20" s="4">
        <v>1000</v>
      </c>
      <c r="D20" s="4">
        <v>500</v>
      </c>
      <c r="E20" s="4">
        <v>1500</v>
      </c>
      <c r="F20" s="4">
        <f t="shared" si="0"/>
        <v>0</v>
      </c>
      <c r="G20" s="4">
        <v>500</v>
      </c>
      <c r="H20" s="4">
        <f t="shared" si="1"/>
        <v>500</v>
      </c>
      <c r="I20" s="4">
        <v>500</v>
      </c>
      <c r="J20" s="4">
        <f t="shared" si="2"/>
        <v>0</v>
      </c>
      <c r="K20" s="4">
        <v>500</v>
      </c>
      <c r="L20" s="4">
        <f t="shared" si="3"/>
        <v>500</v>
      </c>
      <c r="M20" s="4">
        <v>0</v>
      </c>
      <c r="N20" s="4">
        <f t="shared" si="4"/>
        <v>500</v>
      </c>
    </row>
    <row r="21" spans="1:14" x14ac:dyDescent="0.3">
      <c r="A21" s="4">
        <v>402</v>
      </c>
      <c r="B21" s="4">
        <v>1500</v>
      </c>
      <c r="C21" s="4">
        <v>2500</v>
      </c>
      <c r="D21" s="4">
        <v>500</v>
      </c>
      <c r="E21" s="4">
        <v>3000</v>
      </c>
      <c r="F21" s="4">
        <f t="shared" si="0"/>
        <v>0</v>
      </c>
      <c r="G21" s="4">
        <v>500</v>
      </c>
      <c r="H21" s="4">
        <f t="shared" si="1"/>
        <v>500</v>
      </c>
      <c r="I21" s="4">
        <v>0</v>
      </c>
      <c r="J21" s="4">
        <f t="shared" si="2"/>
        <v>500</v>
      </c>
      <c r="K21" s="4">
        <v>500</v>
      </c>
      <c r="L21" s="4">
        <f t="shared" si="3"/>
        <v>1000</v>
      </c>
      <c r="M21" s="5" t="s">
        <v>3</v>
      </c>
      <c r="N21" s="4">
        <v>500</v>
      </c>
    </row>
    <row r="22" spans="1:14" x14ac:dyDescent="0.3">
      <c r="A22" s="4">
        <v>403</v>
      </c>
      <c r="B22" s="4">
        <v>1500</v>
      </c>
      <c r="C22" s="4">
        <v>3000</v>
      </c>
      <c r="D22" s="4" t="s">
        <v>3</v>
      </c>
      <c r="E22" s="4">
        <v>3000</v>
      </c>
      <c r="F22" s="5">
        <v>0</v>
      </c>
      <c r="G22" s="4">
        <v>500</v>
      </c>
      <c r="H22" s="4">
        <f t="shared" si="1"/>
        <v>500</v>
      </c>
      <c r="I22" s="5" t="s">
        <v>3</v>
      </c>
      <c r="J22" s="5">
        <v>0</v>
      </c>
      <c r="K22" s="4">
        <v>500</v>
      </c>
      <c r="L22" s="4">
        <f t="shared" si="3"/>
        <v>500</v>
      </c>
      <c r="M22" s="4">
        <v>500</v>
      </c>
      <c r="N22" s="4">
        <f t="shared" si="4"/>
        <v>0</v>
      </c>
    </row>
    <row r="23" spans="1:14" x14ac:dyDescent="0.3">
      <c r="A23" s="4">
        <v>404</v>
      </c>
      <c r="B23" s="4">
        <v>1500</v>
      </c>
      <c r="C23" s="4">
        <v>1000</v>
      </c>
      <c r="D23" s="4">
        <v>500</v>
      </c>
      <c r="E23" s="4">
        <v>1500</v>
      </c>
      <c r="F23" s="4">
        <f t="shared" si="0"/>
        <v>0</v>
      </c>
      <c r="G23" s="4">
        <v>500</v>
      </c>
      <c r="H23" s="4">
        <f t="shared" si="1"/>
        <v>500</v>
      </c>
      <c r="I23" s="4">
        <v>500</v>
      </c>
      <c r="J23" s="4">
        <f t="shared" si="2"/>
        <v>0</v>
      </c>
      <c r="K23" s="4">
        <v>500</v>
      </c>
      <c r="L23" s="4">
        <f t="shared" si="3"/>
        <v>500</v>
      </c>
      <c r="M23" s="4">
        <v>500</v>
      </c>
      <c r="N23" s="4">
        <f t="shared" si="4"/>
        <v>0</v>
      </c>
    </row>
    <row r="24" spans="1:14" x14ac:dyDescent="0.3">
      <c r="A24" s="4">
        <v>405</v>
      </c>
      <c r="B24" s="4">
        <v>1500</v>
      </c>
      <c r="C24" s="4">
        <v>1000</v>
      </c>
      <c r="D24" s="4">
        <v>500</v>
      </c>
      <c r="E24" s="4">
        <v>1500</v>
      </c>
      <c r="F24" s="4">
        <f t="shared" si="0"/>
        <v>0</v>
      </c>
      <c r="G24" s="4">
        <v>500</v>
      </c>
      <c r="H24" s="4">
        <f t="shared" si="1"/>
        <v>500</v>
      </c>
      <c r="I24" s="4">
        <v>500</v>
      </c>
      <c r="J24" s="4">
        <f t="shared" si="2"/>
        <v>0</v>
      </c>
      <c r="K24" s="4">
        <v>500</v>
      </c>
      <c r="L24" s="4">
        <f t="shared" si="3"/>
        <v>500</v>
      </c>
      <c r="M24" s="4">
        <v>0</v>
      </c>
      <c r="N24" s="4">
        <f t="shared" si="4"/>
        <v>500</v>
      </c>
    </row>
    <row r="25" spans="1:14" x14ac:dyDescent="0.3">
      <c r="A25" s="4">
        <v>406</v>
      </c>
      <c r="B25" s="4">
        <v>1500</v>
      </c>
      <c r="C25" s="4"/>
      <c r="D25" s="4">
        <v>500</v>
      </c>
      <c r="E25" s="4">
        <v>500</v>
      </c>
      <c r="F25" s="4">
        <f t="shared" si="0"/>
        <v>0</v>
      </c>
      <c r="G25" s="4">
        <v>500</v>
      </c>
      <c r="H25" s="4">
        <f t="shared" si="1"/>
        <v>500</v>
      </c>
      <c r="I25" s="4">
        <v>500</v>
      </c>
      <c r="J25" s="4">
        <f t="shared" si="2"/>
        <v>0</v>
      </c>
      <c r="K25" s="4">
        <v>500</v>
      </c>
      <c r="L25" s="4">
        <f t="shared" si="3"/>
        <v>500</v>
      </c>
      <c r="M25" s="4">
        <v>500</v>
      </c>
      <c r="N25" s="4">
        <f t="shared" si="4"/>
        <v>0</v>
      </c>
    </row>
    <row r="26" spans="1:14" x14ac:dyDescent="0.3">
      <c r="A26" s="4"/>
      <c r="B26" s="4">
        <f>+SUM(B3:B25)</f>
        <v>34500</v>
      </c>
      <c r="C26" s="4">
        <f>+SUM(C3:C25)</f>
        <v>29000</v>
      </c>
      <c r="D26" s="4">
        <f t="shared" ref="D26:N26" si="5">SUM(D3:D25)</f>
        <v>11000</v>
      </c>
      <c r="E26" s="4">
        <f t="shared" si="5"/>
        <v>25500</v>
      </c>
      <c r="F26" s="6">
        <f t="shared" si="5"/>
        <v>14500</v>
      </c>
      <c r="G26" s="4">
        <f t="shared" si="5"/>
        <v>11500</v>
      </c>
      <c r="H26" s="4">
        <f t="shared" si="5"/>
        <v>26000</v>
      </c>
      <c r="I26" s="4">
        <f t="shared" si="5"/>
        <v>9000</v>
      </c>
      <c r="J26" s="6">
        <f t="shared" si="5"/>
        <v>16500</v>
      </c>
      <c r="K26" s="4">
        <f t="shared" si="5"/>
        <v>11500</v>
      </c>
      <c r="L26" s="4">
        <f t="shared" si="5"/>
        <v>28000</v>
      </c>
      <c r="M26" s="4">
        <f t="shared" si="5"/>
        <v>9000</v>
      </c>
      <c r="N26" s="6">
        <f t="shared" si="5"/>
        <v>18500</v>
      </c>
    </row>
    <row r="28" spans="1:14" x14ac:dyDescent="0.3">
      <c r="B28" s="9" t="s">
        <v>37</v>
      </c>
      <c r="C28" s="9"/>
      <c r="D28" s="9"/>
      <c r="E28" s="9"/>
      <c r="G28" s="9" t="s">
        <v>41</v>
      </c>
      <c r="H28" s="9"/>
      <c r="I28" s="9"/>
      <c r="K28" s="9" t="s">
        <v>42</v>
      </c>
      <c r="L28" s="9"/>
      <c r="M28" s="9"/>
      <c r="N28" s="9"/>
    </row>
    <row r="29" spans="1:14" x14ac:dyDescent="0.3">
      <c r="B29" s="7" t="s">
        <v>38</v>
      </c>
      <c r="C29" s="4" t="s">
        <v>5</v>
      </c>
      <c r="D29" s="4"/>
      <c r="E29" s="4">
        <v>27714</v>
      </c>
      <c r="G29" s="7" t="s">
        <v>38</v>
      </c>
      <c r="H29" s="4" t="s">
        <v>22</v>
      </c>
      <c r="I29" s="4">
        <v>400</v>
      </c>
      <c r="K29" s="7" t="s">
        <v>38</v>
      </c>
      <c r="L29" s="4" t="s">
        <v>32</v>
      </c>
      <c r="M29" s="4"/>
      <c r="N29" s="4">
        <v>700</v>
      </c>
    </row>
    <row r="30" spans="1:14" x14ac:dyDescent="0.3">
      <c r="B30" s="7"/>
      <c r="C30" s="4" t="s">
        <v>24</v>
      </c>
      <c r="D30" s="4"/>
      <c r="E30" s="4">
        <v>500</v>
      </c>
      <c r="G30" s="7"/>
      <c r="H30" s="4" t="s">
        <v>23</v>
      </c>
      <c r="I30" s="4">
        <v>100</v>
      </c>
      <c r="K30" s="7"/>
      <c r="L30" s="4" t="s">
        <v>33</v>
      </c>
      <c r="M30" s="4"/>
      <c r="N30" s="4">
        <v>2000</v>
      </c>
    </row>
    <row r="31" spans="1:14" x14ac:dyDescent="0.3">
      <c r="B31" s="7"/>
      <c r="C31" s="4"/>
      <c r="D31" s="4"/>
      <c r="E31" s="4">
        <f>SUM(E29:E30)</f>
        <v>28214</v>
      </c>
      <c r="G31" s="7"/>
      <c r="H31" s="4"/>
      <c r="I31" s="4">
        <f>SUM(I29:I30)</f>
        <v>500</v>
      </c>
      <c r="K31" s="7"/>
      <c r="L31" s="4" t="s">
        <v>34</v>
      </c>
      <c r="M31" s="4"/>
      <c r="N31" s="4">
        <v>16413</v>
      </c>
    </row>
    <row r="32" spans="1:14" x14ac:dyDescent="0.3">
      <c r="B32" s="4"/>
      <c r="C32" s="4"/>
      <c r="D32" s="4"/>
      <c r="E32" s="4"/>
      <c r="G32" s="4"/>
      <c r="H32" s="4"/>
      <c r="I32" s="4"/>
      <c r="K32" s="4"/>
      <c r="L32" s="4"/>
      <c r="M32" s="4"/>
      <c r="N32" s="4">
        <f>SUM(N29:N31)</f>
        <v>19113</v>
      </c>
    </row>
    <row r="33" spans="2:14" x14ac:dyDescent="0.3">
      <c r="B33" s="4"/>
      <c r="C33" s="4"/>
      <c r="D33" s="4"/>
      <c r="E33" s="4"/>
      <c r="G33" s="4"/>
      <c r="H33" s="4"/>
      <c r="I33" s="4"/>
      <c r="K33" s="4"/>
      <c r="L33" s="4"/>
      <c r="M33" s="4"/>
      <c r="N33" s="4"/>
    </row>
    <row r="34" spans="2:14" x14ac:dyDescent="0.3">
      <c r="B34" s="7" t="s">
        <v>39</v>
      </c>
      <c r="C34" s="4" t="s">
        <v>7</v>
      </c>
      <c r="D34" s="4" t="s">
        <v>19</v>
      </c>
      <c r="E34" s="4">
        <v>10000</v>
      </c>
      <c r="G34" s="7" t="s">
        <v>39</v>
      </c>
      <c r="H34" s="4" t="s">
        <v>25</v>
      </c>
      <c r="I34" s="4">
        <f>+I26</f>
        <v>9000</v>
      </c>
      <c r="K34" s="7" t="s">
        <v>39</v>
      </c>
      <c r="L34" s="4" t="s">
        <v>25</v>
      </c>
      <c r="M34" s="4"/>
      <c r="N34" s="4">
        <v>9000</v>
      </c>
    </row>
    <row r="35" spans="2:14" x14ac:dyDescent="0.3">
      <c r="B35" s="7"/>
      <c r="C35" s="4" t="s">
        <v>8</v>
      </c>
      <c r="D35" s="4" t="s">
        <v>19</v>
      </c>
      <c r="E35" s="4">
        <v>2000</v>
      </c>
      <c r="G35" s="7"/>
      <c r="H35" s="4"/>
      <c r="I35" s="4"/>
      <c r="K35" s="7"/>
      <c r="L35" s="4"/>
      <c r="M35" s="4"/>
      <c r="N35" s="4"/>
    </row>
    <row r="36" spans="2:14" x14ac:dyDescent="0.3">
      <c r="B36" s="7"/>
      <c r="C36" s="4" t="s">
        <v>20</v>
      </c>
      <c r="D36" s="4" t="s">
        <v>21</v>
      </c>
      <c r="E36" s="4">
        <v>13500</v>
      </c>
      <c r="G36" s="7"/>
      <c r="H36" s="4"/>
      <c r="I36" s="4"/>
      <c r="K36" s="7"/>
      <c r="L36" s="4"/>
      <c r="M36" s="4"/>
      <c r="N36" s="4"/>
    </row>
    <row r="37" spans="2:14" x14ac:dyDescent="0.3">
      <c r="B37" s="4"/>
      <c r="C37" s="4"/>
      <c r="D37" s="4"/>
      <c r="E37" s="4">
        <f>SUBTOTAL(9,E34:E36)</f>
        <v>25500</v>
      </c>
      <c r="G37" s="4"/>
      <c r="H37" s="4"/>
      <c r="I37" s="4"/>
      <c r="K37" s="4"/>
      <c r="L37" s="4"/>
      <c r="M37" s="4"/>
      <c r="N37" s="4"/>
    </row>
    <row r="38" spans="2:14" x14ac:dyDescent="0.3">
      <c r="B38" s="4"/>
      <c r="C38" s="4"/>
      <c r="D38" s="4"/>
      <c r="E38" s="4"/>
      <c r="G38" s="4"/>
      <c r="H38" s="4"/>
      <c r="I38" s="4"/>
      <c r="K38" s="4"/>
      <c r="L38" s="4"/>
      <c r="M38" s="4"/>
      <c r="N38" s="4"/>
    </row>
    <row r="39" spans="2:14" x14ac:dyDescent="0.3">
      <c r="B39" s="8" t="s">
        <v>40</v>
      </c>
      <c r="C39" s="4" t="s">
        <v>26</v>
      </c>
      <c r="D39" s="4"/>
      <c r="E39" s="4">
        <f>+E37-E31</f>
        <v>-2714</v>
      </c>
      <c r="G39" s="8" t="s">
        <v>40</v>
      </c>
      <c r="H39" s="4" t="s">
        <v>29</v>
      </c>
      <c r="I39" s="4">
        <f>+I34-I31</f>
        <v>8500</v>
      </c>
      <c r="K39" s="8" t="s">
        <v>40</v>
      </c>
      <c r="L39" s="4" t="s">
        <v>29</v>
      </c>
      <c r="M39" s="4"/>
      <c r="N39" s="4">
        <f>+N34-N32</f>
        <v>-10113</v>
      </c>
    </row>
    <row r="40" spans="2:14" x14ac:dyDescent="0.3">
      <c r="B40" s="8"/>
      <c r="C40" s="4" t="s">
        <v>27</v>
      </c>
      <c r="D40" s="4"/>
      <c r="E40" s="4">
        <v>-3000</v>
      </c>
      <c r="G40" s="8"/>
      <c r="H40" s="4" t="s">
        <v>30</v>
      </c>
      <c r="I40" s="4">
        <f>E41</f>
        <v>-5714</v>
      </c>
      <c r="K40" s="8"/>
      <c r="L40" s="4" t="s">
        <v>35</v>
      </c>
      <c r="M40" s="4"/>
      <c r="N40" s="4">
        <f>I41</f>
        <v>2786</v>
      </c>
    </row>
    <row r="41" spans="2:14" x14ac:dyDescent="0.3">
      <c r="B41" s="8"/>
      <c r="C41" s="4" t="s">
        <v>28</v>
      </c>
      <c r="D41" s="4"/>
      <c r="E41" s="6">
        <f>+E39+E40</f>
        <v>-5714</v>
      </c>
      <c r="G41" s="8"/>
      <c r="H41" s="4" t="s">
        <v>31</v>
      </c>
      <c r="I41" s="4">
        <f>I39+I40</f>
        <v>2786</v>
      </c>
      <c r="K41" s="8"/>
      <c r="L41" s="4" t="s">
        <v>36</v>
      </c>
      <c r="M41" s="4"/>
      <c r="N41" s="6">
        <f>N40+N39</f>
        <v>-7327</v>
      </c>
    </row>
  </sheetData>
  <mergeCells count="12">
    <mergeCell ref="K29:K31"/>
    <mergeCell ref="K34:K36"/>
    <mergeCell ref="K39:K41"/>
    <mergeCell ref="K28:N28"/>
    <mergeCell ref="B29:B31"/>
    <mergeCell ref="B28:E28"/>
    <mergeCell ref="B34:B36"/>
    <mergeCell ref="B39:B41"/>
    <mergeCell ref="G29:G31"/>
    <mergeCell ref="G34:G36"/>
    <mergeCell ref="G39:G41"/>
    <mergeCell ref="G28:I28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</cp:lastModifiedBy>
  <dcterms:created xsi:type="dcterms:W3CDTF">2026-07-04T15:11:16Z</dcterms:created>
  <dcterms:modified xsi:type="dcterms:W3CDTF">2026-09-08T16:03:05Z</dcterms:modified>
</cp:coreProperties>
</file>